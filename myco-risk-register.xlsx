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chrom\Documents\2026 - Spring Final Semester (Senior)\COMP 348\Project 3\"/>
    </mc:Choice>
  </mc:AlternateContent>
  <xr:revisionPtr revIDLastSave="0" documentId="13_ncr:1_{10DED2A3-4A9B-4F29-A4C1-03F23DEB9915}" xr6:coauthVersionLast="47" xr6:coauthVersionMax="47" xr10:uidLastSave="{00000000-0000-0000-0000-000000000000}"/>
  <bookViews>
    <workbookView xWindow="-120" yWindow="-120" windowWidth="29040" windowHeight="15720" xr2:uid="{00000000-000D-0000-FFFF-FFFF00000000}"/>
  </bookViews>
  <sheets>
    <sheet name="Risk Register" sheetId="1" r:id="rId1"/>
    <sheet name="Probability" sheetId="2" r:id="rId2"/>
    <sheet name="Impact" sheetId="3" r:id="rId3"/>
    <sheet name="Risk"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 l="1"/>
  <c r="H4" i="1"/>
  <c r="H3" i="1"/>
</calcChain>
</file>

<file path=xl/sharedStrings.xml><?xml version="1.0" encoding="utf-8"?>
<sst xmlns="http://schemas.openxmlformats.org/spreadsheetml/2006/main" count="65" uniqueCount="48">
  <si>
    <t>Risk Register</t>
  </si>
  <si>
    <t>Asset</t>
  </si>
  <si>
    <t>Brief Vulnerability Description</t>
  </si>
  <si>
    <t>Threats</t>
  </si>
  <si>
    <t>Probability Factor</t>
  </si>
  <si>
    <t>Probability Justification</t>
  </si>
  <si>
    <t>Impact Factor</t>
  </si>
  <si>
    <t>Impact Justification</t>
  </si>
  <si>
    <t>Risk Priority</t>
  </si>
  <si>
    <t>Action</t>
  </si>
  <si>
    <t>Web Server</t>
  </si>
  <si>
    <t xml:space="preserve">MyCo uses Internet Information Services (IIS) 6.0, an outdated and unsupported web server that is vulnerable to a buffer overflow attack, which can lead to remote code execution (CVE-2017-7269). </t>
  </si>
  <si>
    <t>External hacker or automated Internet scanning bot</t>
  </si>
  <si>
    <t>Very High</t>
  </si>
  <si>
    <t>The web server is Internet-facing and is constantly exposed to being probed by outside scanners. Public services are one of the most frequently targeted assets.</t>
  </si>
  <si>
    <t>Low</t>
  </si>
  <si>
    <t xml:space="preserve">The web server hosts only public-facing informational content, with no critical customer or internal data. If it were compromised, the site could be rebuilt or restored quickly from a database or backup system. </t>
  </si>
  <si>
    <t>Desktop(s) Network</t>
  </si>
  <si>
    <t>MyCo owns and operates legacy desktops for all departments that are vulnerable to Internet Explorer remote code execution (CVE-2009-2531) if a user were to view a specially crafted web page. Attackers could gain the same rights as the user, and the compromised desktop could become a starting point for account theft or lateral movement.</t>
  </si>
  <si>
    <t xml:space="preserve">Phishing attacks or malicious websites </t>
  </si>
  <si>
    <t>Medium</t>
  </si>
  <si>
    <t>Although the Desktop Network is connected to the Internet, users are limited to approved business-related websites. This lowers the chance of users reaching malicious websites. However, this doesn't account for potential phishing links and malicious attachments, although our employees are highly trained to be security conscious.</t>
  </si>
  <si>
    <t xml:space="preserve">The impact is much greater because the asset is on a flat environment. If one endpoint is compromised, the recovery effort could spread across multiple departments and require password resets, forensic review, and checks for lateral movement into admin desktops. </t>
  </si>
  <si>
    <t>Backup Server</t>
  </si>
  <si>
    <t xml:space="preserve">MyCo uses Windows Server 2003, which has reached its end of life and is highly vulnerable to remote code execution and wormable exploits (MS17-010) due to key risk factors such as SMB 1.0 vulnerabilities. </t>
  </si>
  <si>
    <t>Ransomware operator or wormable malware</t>
  </si>
  <si>
    <t>High</t>
  </si>
  <si>
    <t xml:space="preserve">Attackers need an initial foothold from other parts of the network, such as the web server or a desktop. If a foothold is achieved, the backup server can become a target because it's on the same flat network, uses old technology, and is not isolated by firewalls. </t>
  </si>
  <si>
    <t xml:space="preserve">If the backup server is encrypted or wiped, MyCo could lose control of the system that is intended to restore everything else, which could potentially put the company out of business. Ransomware could make files and systems unusable, making restoration impossible. </t>
  </si>
  <si>
    <t xml:space="preserve">1. To mitigate this risk, I would isolate the backups from the network, cutting off direct access from desktops and servers. I would also disable SMB 1.0 and upgrade systems if possible, restrict access to a small number of backup admins, and keep at least one offline or immutable copy that ransomware cannot easily encrypt.  
2. This would reduce the probability from High to Low. The isolation alone makes it more difficult for an attacker to reach the backups from another compromised system.
3. Impact would go from Very High to Medium. Even if ransomware hits our main backup server, we will have isolated backups that make the restoration process faster and actually possible. 
4. Overall risk would decrease to Low.
5. Residual Risk: Low to Medium. There is still risk from insider misuse, misconfiguration, failed backup jobs, or an attacker compromising the backup admin account.
6. No, it's not fully sufficient. It's sufficient to reduce the biggest risk of the organization. However, some additional recommendations are: upgrading off of Windows Server 2003 platforms, separating and tightening security around backup admin credentials (MFA preferred), implementing regular testing on backups, and implementing more network segmentation and firewalls to add additional layers of security. </t>
  </si>
  <si>
    <t>Probability Clasifier</t>
  </si>
  <si>
    <t>Frequency of exploit</t>
  </si>
  <si>
    <t>Impact Index</t>
  </si>
  <si>
    <t>Very Low</t>
  </si>
  <si>
    <t>Annually</t>
  </si>
  <si>
    <t>Bi-annually</t>
  </si>
  <si>
    <t>Monthly</t>
  </si>
  <si>
    <t>Weekly</t>
  </si>
  <si>
    <t>Daily</t>
  </si>
  <si>
    <t>Impact Clasifier</t>
  </si>
  <si>
    <t>Impact Description</t>
  </si>
  <si>
    <t>Immediate, automated restoration of services is possible</t>
  </si>
  <si>
    <t>Restoration of services measured in minutes</t>
  </si>
  <si>
    <t>Restoration of services measured in hours</t>
  </si>
  <si>
    <t>Restoration of services measured in days</t>
  </si>
  <si>
    <t>Restoration could take weeks or may be impossible</t>
  </si>
  <si>
    <t>Risk Value</t>
  </si>
  <si>
    <t>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</si>
</sst>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8"/>
      </patternFill>
    </fill>
    <fill>
      <patternFill patternType="solid">
        <fgColor theme="8" tint="0.79998168889431442"/>
        <bgColor indexed="65"/>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1"/>
      </left>
      <right/>
      <top style="thin">
        <color theme="1"/>
      </top>
      <bottom style="thin">
        <color theme="1"/>
      </bottom>
      <diagonal/>
    </border>
  </borders>
  <cellStyleXfs count="3">
    <xf numFmtId="0" fontId="0" fillId="0" borderId="0"/>
    <xf numFmtId="0" fontId="2" fillId="2" borderId="0" applyNumberFormat="0" applyBorder="0" applyAlignment="0" applyProtection="0"/>
    <xf numFmtId="0" fontId="1" fillId="3" borderId="0" applyNumberFormat="0" applyBorder="0" applyAlignment="0" applyProtection="0"/>
  </cellStyleXfs>
  <cellXfs count="9">
    <xf numFmtId="0" fontId="0" fillId="0" borderId="0" xfId="0"/>
    <xf numFmtId="0" fontId="0" fillId="0" borderId="0" xfId="0" applyAlignment="1">
      <alignment horizontal="center" wrapText="1"/>
    </xf>
    <xf numFmtId="0" fontId="2" fillId="2" borderId="0" xfId="1" applyAlignment="1">
      <alignment horizontal="center" wrapText="1"/>
    </xf>
    <xf numFmtId="0" fontId="2" fillId="2" borderId="0" xfId="1" applyAlignment="1">
      <alignment horizontal="center"/>
    </xf>
    <xf numFmtId="0" fontId="0" fillId="0" borderId="1" xfId="0" applyBorder="1" applyAlignment="1">
      <alignment vertical="top" wrapText="1"/>
    </xf>
    <xf numFmtId="0" fontId="1" fillId="3" borderId="1" xfId="2" applyBorder="1" applyAlignment="1">
      <alignment vertical="top" wrapText="1"/>
    </xf>
    <xf numFmtId="0" fontId="3" fillId="0" borderId="2" xfId="0" applyFont="1" applyBorder="1" applyAlignment="1">
      <alignment vertical="top"/>
    </xf>
    <xf numFmtId="0" fontId="3" fillId="0" borderId="1" xfId="0" applyFont="1" applyBorder="1" applyAlignment="1">
      <alignment vertical="top"/>
    </xf>
    <xf numFmtId="0" fontId="3" fillId="3" borderId="1" xfId="2" applyFont="1" applyBorder="1" applyAlignment="1">
      <alignment vertical="top"/>
    </xf>
  </cellXfs>
  <cellStyles count="3">
    <cellStyle name="20% - Accent5" xfId="2" builtinId="46"/>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62AAF9-28FD-414E-AA69-862F221FAFB2}" name="Probability" displayName="Probability" ref="A1:C6" totalsRowShown="0">
  <autoFilter ref="A1:C6" xr:uid="{3C154A7D-F103-4464-B389-BD030104862E}"/>
  <tableColumns count="3">
    <tableColumn id="1" xr3:uid="{6689FE04-0114-4660-ABB3-64F0C708D74E}" name="Probability Clasifier"/>
    <tableColumn id="2" xr3:uid="{2C5E97A7-AB6C-4C67-BA2F-65FBFFD44C8A}" name="Frequency of exploit"/>
    <tableColumn id="3" xr3:uid="{7BCFD69A-C143-44FE-8C6A-1FE5EA9C4649}" name="Impact Index"/>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449E6E-C2C3-4E14-A264-FA22C21AC46A}" name="Impact" displayName="Impact" ref="A1:C6" totalsRowShown="0">
  <autoFilter ref="A1:C6" xr:uid="{B3073F32-E905-4192-8F2E-011DA78AA533}"/>
  <tableColumns count="3">
    <tableColumn id="1" xr3:uid="{9161729D-B75A-4864-9C20-AB2F62F707AF}" name="Impact Clasifier"/>
    <tableColumn id="2" xr3:uid="{3062B9CA-D4F3-4D79-8B70-2CD74E11D55E}" name="Impact Description"/>
    <tableColumn id="3" xr3:uid="{F3A0975E-2571-47E7-B2AD-861EEBCBF3C1}" name="Impact Index"/>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A65D45-95DC-4F28-B1D9-F30BC97A9FC8}" name="Risk" displayName="Risk" ref="A1:B6" totalsRowShown="0">
  <autoFilter ref="A1:B6" xr:uid="{FDEAAFCC-F0BF-4847-8C19-292FA59B011A}"/>
  <tableColumns count="2">
    <tableColumn id="1" xr3:uid="{D4115DF9-5F7E-4A20-B0E8-3AC3034E374C}" name="Risk Value"/>
    <tableColumn id="2" xr3:uid="{04BE28ED-B074-43DE-A727-788EB2332CEE}" name="Priority"/>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tabSelected="1" zoomScale="101" zoomScaleNormal="101" workbookViewId="0">
      <selection activeCell="I4" sqref="I4"/>
    </sheetView>
  </sheetViews>
  <sheetFormatPr defaultRowHeight="15" x14ac:dyDescent="0.25"/>
  <cols>
    <col min="1" max="1" width="24.7109375" customWidth="1"/>
    <col min="2" max="2" width="36.140625" customWidth="1"/>
    <col min="3" max="3" width="25.140625" customWidth="1"/>
    <col min="4" max="4" width="20.85546875" customWidth="1"/>
    <col min="5" max="5" width="43" customWidth="1"/>
    <col min="6" max="6" width="19.42578125" customWidth="1"/>
    <col min="7" max="7" width="33.5703125" customWidth="1"/>
    <col min="8" max="8" width="14" customWidth="1"/>
    <col min="9" max="9" width="64" customWidth="1"/>
    <col min="10" max="10" width="10.5703125" customWidth="1"/>
  </cols>
  <sheetData>
    <row r="1" spans="1:10" x14ac:dyDescent="0.25">
      <c r="A1" s="3" t="s">
        <v>0</v>
      </c>
      <c r="B1" s="3"/>
      <c r="C1" s="3"/>
      <c r="D1" s="3"/>
      <c r="E1" s="3"/>
      <c r="F1" s="3"/>
      <c r="G1" s="3"/>
      <c r="H1" s="3"/>
      <c r="I1" s="3"/>
    </row>
    <row r="2" spans="1:10" ht="31.5" customHeight="1" x14ac:dyDescent="0.25">
      <c r="A2" s="2" t="s">
        <v>1</v>
      </c>
      <c r="B2" s="2" t="s">
        <v>2</v>
      </c>
      <c r="C2" s="2" t="s">
        <v>3</v>
      </c>
      <c r="D2" s="2" t="s">
        <v>4</v>
      </c>
      <c r="E2" s="2" t="s">
        <v>5</v>
      </c>
      <c r="F2" s="2" t="s">
        <v>6</v>
      </c>
      <c r="G2" s="2" t="s">
        <v>7</v>
      </c>
      <c r="H2" s="2" t="s">
        <v>8</v>
      </c>
      <c r="I2" s="2" t="s">
        <v>9</v>
      </c>
      <c r="J2" s="1"/>
    </row>
    <row r="3" spans="1:10" ht="126" customHeight="1" x14ac:dyDescent="0.25">
      <c r="A3" s="4" t="s">
        <v>10</v>
      </c>
      <c r="B3" s="4" t="s">
        <v>11</v>
      </c>
      <c r="C3" s="4" t="s">
        <v>12</v>
      </c>
      <c r="D3" s="6" t="s">
        <v>13</v>
      </c>
      <c r="E3" s="4" t="s">
        <v>14</v>
      </c>
      <c r="F3" s="7" t="s">
        <v>15</v>
      </c>
      <c r="G3" s="4" t="s">
        <v>16</v>
      </c>
      <c r="H3" s="7" t="str">
        <f>VLOOKUP(VLOOKUP(D3,Probability[],3,FALSE)*VLOOKUP(F3,Impact[],3,FALSE),Risk[],2)</f>
        <v>Medium</v>
      </c>
      <c r="I3" s="4"/>
    </row>
    <row r="4" spans="1:10" ht="147.75" customHeight="1" x14ac:dyDescent="0.25">
      <c r="A4" s="5" t="s">
        <v>17</v>
      </c>
      <c r="B4" s="5" t="s">
        <v>18</v>
      </c>
      <c r="C4" s="5" t="s">
        <v>19</v>
      </c>
      <c r="D4" s="6" t="s">
        <v>20</v>
      </c>
      <c r="E4" s="5" t="s">
        <v>21</v>
      </c>
      <c r="F4" s="8" t="s">
        <v>13</v>
      </c>
      <c r="G4" s="5" t="s">
        <v>22</v>
      </c>
      <c r="H4" s="8" t="str">
        <f>VLOOKUP(VLOOKUP(D4,Probability[],3,FALSE)*VLOOKUP(F4,Impact[],3,FALSE),Risk[],2)</f>
        <v>High</v>
      </c>
      <c r="I4" s="5"/>
    </row>
    <row r="5" spans="1:10" ht="379.5" customHeight="1" x14ac:dyDescent="0.25">
      <c r="A5" s="4" t="s">
        <v>23</v>
      </c>
      <c r="B5" s="4" t="s">
        <v>24</v>
      </c>
      <c r="C5" s="4" t="s">
        <v>25</v>
      </c>
      <c r="D5" s="6" t="s">
        <v>26</v>
      </c>
      <c r="E5" s="4" t="s">
        <v>27</v>
      </c>
      <c r="F5" s="7" t="s">
        <v>13</v>
      </c>
      <c r="G5" s="4" t="s">
        <v>28</v>
      </c>
      <c r="H5" s="7" t="str">
        <f>VLOOKUP(VLOOKUP(D5,Probability[],3,FALSE)*VLOOKUP(F5,Impact[],3,FALSE),Risk[],2)</f>
        <v>Very High</v>
      </c>
      <c r="I5" s="4" t="s">
        <v>29</v>
      </c>
    </row>
  </sheetData>
  <mergeCells count="1">
    <mergeCell ref="A1:I1"/>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E95E005D-E912-419F-827B-5F54F7615CC4}">
          <x14:formula1>
            <xm:f>Probability!$A$2:$A$6</xm:f>
          </x14:formula1>
          <xm:sqref>D3:D5</xm:sqref>
        </x14:dataValidation>
        <x14:dataValidation type="list" allowBlank="1" showInputMessage="1" showErrorMessage="1" xr:uid="{848AED69-CE74-4FB3-8231-09726E6F1577}">
          <x14:formula1>
            <xm:f>Impact!$A$2:$A$6</xm:f>
          </x14:formula1>
          <xm:sqref>F3:F5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90FB9-2E74-49E5-9E63-86BFB91B3676}">
  <dimension ref="A1:C6"/>
  <sheetViews>
    <sheetView workbookViewId="0">
      <selection activeCell="B6" sqref="B6"/>
    </sheetView>
  </sheetViews>
  <sheetFormatPr defaultRowHeight="15" x14ac:dyDescent="0.25"/>
  <cols>
    <col min="1" max="1" width="20.5703125" customWidth="1"/>
    <col min="2" max="2" width="21.42578125" customWidth="1"/>
    <col min="3" max="3" width="17.85546875" customWidth="1"/>
  </cols>
  <sheetData>
    <row r="1" spans="1:3" x14ac:dyDescent="0.25">
      <c r="A1" t="s">
        <v>30</v>
      </c>
      <c r="B1" t="s">
        <v>31</v>
      </c>
      <c r="C1" t="s">
        <v>32</v>
      </c>
    </row>
    <row r="2" spans="1:3" x14ac:dyDescent="0.25">
      <c r="A2" t="s">
        <v>33</v>
      </c>
      <c r="B2" t="s">
        <v>34</v>
      </c>
      <c r="C2">
        <v>1</v>
      </c>
    </row>
    <row r="3" spans="1:3" x14ac:dyDescent="0.25">
      <c r="A3" t="s">
        <v>15</v>
      </c>
      <c r="B3" t="s">
        <v>35</v>
      </c>
      <c r="C3">
        <v>2</v>
      </c>
    </row>
    <row r="4" spans="1:3" x14ac:dyDescent="0.25">
      <c r="A4" t="s">
        <v>20</v>
      </c>
      <c r="B4" t="s">
        <v>36</v>
      </c>
      <c r="C4">
        <v>3</v>
      </c>
    </row>
    <row r="5" spans="1:3" x14ac:dyDescent="0.25">
      <c r="A5" t="s">
        <v>26</v>
      </c>
      <c r="B5" t="s">
        <v>37</v>
      </c>
      <c r="C5">
        <v>4</v>
      </c>
    </row>
    <row r="6" spans="1:3" x14ac:dyDescent="0.25">
      <c r="A6" t="s">
        <v>13</v>
      </c>
      <c r="B6" t="s">
        <v>38</v>
      </c>
      <c r="C6">
        <v>5</v>
      </c>
    </row>
  </sheetData>
  <sheetProtection sheet="1" objects="1" scenario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7092-BC30-4344-8B10-BE8C4A480EB0}">
  <dimension ref="A1:C6"/>
  <sheetViews>
    <sheetView workbookViewId="0">
      <selection activeCell="B6" sqref="B6"/>
    </sheetView>
  </sheetViews>
  <sheetFormatPr defaultRowHeight="15" x14ac:dyDescent="0.25"/>
  <cols>
    <col min="1" max="1" width="16.85546875" customWidth="1"/>
    <col min="2" max="2" width="19.7109375" customWidth="1"/>
    <col min="3" max="3" width="14.5703125" customWidth="1"/>
  </cols>
  <sheetData>
    <row r="1" spans="1:3" x14ac:dyDescent="0.25">
      <c r="A1" t="s">
        <v>39</v>
      </c>
      <c r="B1" t="s">
        <v>40</v>
      </c>
      <c r="C1" t="s">
        <v>32</v>
      </c>
    </row>
    <row r="2" spans="1:3" x14ac:dyDescent="0.25">
      <c r="A2" t="s">
        <v>33</v>
      </c>
      <c r="B2" t="s">
        <v>41</v>
      </c>
      <c r="C2">
        <v>1</v>
      </c>
    </row>
    <row r="3" spans="1:3" x14ac:dyDescent="0.25">
      <c r="A3" t="s">
        <v>15</v>
      </c>
      <c r="B3" t="s">
        <v>42</v>
      </c>
      <c r="C3">
        <v>2</v>
      </c>
    </row>
    <row r="4" spans="1:3" x14ac:dyDescent="0.25">
      <c r="A4" t="s">
        <v>20</v>
      </c>
      <c r="B4" t="s">
        <v>43</v>
      </c>
      <c r="C4">
        <v>3</v>
      </c>
    </row>
    <row r="5" spans="1:3" x14ac:dyDescent="0.25">
      <c r="A5" t="s">
        <v>26</v>
      </c>
      <c r="B5" t="s">
        <v>44</v>
      </c>
      <c r="C5">
        <v>4</v>
      </c>
    </row>
    <row r="6" spans="1:3" x14ac:dyDescent="0.25">
      <c r="A6" t="s">
        <v>13</v>
      </c>
      <c r="B6" t="s">
        <v>45</v>
      </c>
      <c r="C6">
        <v>5</v>
      </c>
    </row>
  </sheetData>
  <sheetProtection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137B-10CA-4C55-9D0A-EE86CB67221D}">
  <dimension ref="A1:B6"/>
  <sheetViews>
    <sheetView workbookViewId="0">
      <selection sqref="A1:B6"/>
    </sheetView>
  </sheetViews>
  <sheetFormatPr defaultRowHeight="15" x14ac:dyDescent="0.25"/>
  <cols>
    <col min="1" max="1" width="12.28515625" customWidth="1"/>
    <col min="2" max="2" width="9.7109375" customWidth="1"/>
  </cols>
  <sheetData>
    <row r="1" spans="1:2" x14ac:dyDescent="0.25">
      <c r="A1" t="s">
        <v>46</v>
      </c>
      <c r="B1" t="s">
        <v>47</v>
      </c>
    </row>
    <row r="2" spans="1:2" x14ac:dyDescent="0.25">
      <c r="A2">
        <v>1</v>
      </c>
      <c r="B2" t="s">
        <v>33</v>
      </c>
    </row>
    <row r="3" spans="1:2" x14ac:dyDescent="0.25">
      <c r="A3">
        <v>5</v>
      </c>
      <c r="B3" t="s">
        <v>15</v>
      </c>
    </row>
    <row r="4" spans="1:2" x14ac:dyDescent="0.25">
      <c r="A4">
        <v>10</v>
      </c>
      <c r="B4" t="s">
        <v>20</v>
      </c>
    </row>
    <row r="5" spans="1:2" x14ac:dyDescent="0.25">
      <c r="A5">
        <v>15</v>
      </c>
      <c r="B5" t="s">
        <v>26</v>
      </c>
    </row>
    <row r="6" spans="1:2" x14ac:dyDescent="0.25">
      <c r="A6">
        <v>20</v>
      </c>
      <c r="B6" t="s">
        <v>13</v>
      </c>
    </row>
  </sheetData>
  <sheetProtection sheet="1" objects="1" scenarios="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Risk Register</vt:lpstr>
      <vt:lpstr>Probability</vt:lpstr>
      <vt:lpstr>Impact</vt:lpstr>
      <vt:lpstr>Risk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Romo, Christian</cp:lastModifiedBy>
  <cp:revision/>
  <dcterms:created xsi:type="dcterms:W3CDTF">2015-06-05T18:17:20Z</dcterms:created>
  <dcterms:modified xsi:type="dcterms:W3CDTF">2026-07-17T21:59:13Z</dcterms:modified>
  <cp:category/>
  <cp:contentStatus/>
</cp:coreProperties>
</file>